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ordo\OneDrive\Desktop\Excel\"/>
    </mc:Choice>
  </mc:AlternateContent>
  <bookViews>
    <workbookView xWindow="0" yWindow="0" windowWidth="26083" windowHeight="1074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1" l="1"/>
  <c r="K27" i="1"/>
  <c r="J27" i="1"/>
  <c r="I27" i="1"/>
  <c r="H27" i="1"/>
  <c r="K26" i="1"/>
  <c r="J26" i="1"/>
  <c r="I26" i="1"/>
  <c r="H26" i="1"/>
  <c r="K25" i="1"/>
  <c r="J25" i="1"/>
  <c r="I25" i="1"/>
  <c r="D25" i="1"/>
  <c r="E25" i="1"/>
  <c r="F25" i="1"/>
  <c r="D26" i="1"/>
  <c r="E26" i="1"/>
  <c r="F26" i="1"/>
  <c r="D27" i="1"/>
  <c r="E27" i="1"/>
  <c r="F27" i="1"/>
  <c r="C27" i="1"/>
  <c r="C26" i="1"/>
  <c r="C25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4" i="1"/>
  <c r="I4" i="1"/>
  <c r="J4" i="1"/>
  <c r="K4" i="1"/>
  <c r="I5" i="1"/>
  <c r="J5" i="1"/>
  <c r="K5" i="1"/>
  <c r="I6" i="1"/>
  <c r="J6" i="1"/>
  <c r="K6" i="1"/>
  <c r="I7" i="1"/>
  <c r="J7" i="1"/>
  <c r="K7" i="1"/>
  <c r="I8" i="1"/>
  <c r="J8" i="1"/>
  <c r="K8" i="1"/>
  <c r="I9" i="1"/>
  <c r="J9" i="1"/>
  <c r="K9" i="1"/>
  <c r="I10" i="1"/>
  <c r="J10" i="1"/>
  <c r="K10" i="1"/>
  <c r="I11" i="1"/>
  <c r="J11" i="1"/>
  <c r="K11" i="1"/>
  <c r="I12" i="1"/>
  <c r="J12" i="1"/>
  <c r="K12" i="1"/>
  <c r="I13" i="1"/>
  <c r="J13" i="1"/>
  <c r="K13" i="1"/>
  <c r="I14" i="1"/>
  <c r="J14" i="1"/>
  <c r="K14" i="1"/>
  <c r="I15" i="1"/>
  <c r="J15" i="1"/>
  <c r="K15" i="1"/>
  <c r="I16" i="1"/>
  <c r="J16" i="1"/>
  <c r="K16" i="1"/>
  <c r="I17" i="1"/>
  <c r="J17" i="1"/>
  <c r="K17" i="1"/>
  <c r="I18" i="1"/>
  <c r="J18" i="1"/>
  <c r="K18" i="1"/>
  <c r="I19" i="1"/>
  <c r="J19" i="1"/>
  <c r="K19" i="1"/>
  <c r="I20" i="1"/>
  <c r="J20" i="1"/>
  <c r="K20" i="1"/>
  <c r="I21" i="1"/>
  <c r="J21" i="1"/>
  <c r="K21" i="1"/>
  <c r="I22" i="1"/>
  <c r="J22" i="1"/>
  <c r="K22" i="1"/>
  <c r="I23" i="1"/>
  <c r="J23" i="1"/>
  <c r="K23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4" i="1"/>
</calcChain>
</file>

<file path=xl/sharedStrings.xml><?xml version="1.0" encoding="utf-8"?>
<sst xmlns="http://schemas.openxmlformats.org/spreadsheetml/2006/main" count="56" uniqueCount="50">
  <si>
    <t xml:space="preserve">Last Name </t>
  </si>
  <si>
    <t>First Name</t>
  </si>
  <si>
    <t>Sowah</t>
  </si>
  <si>
    <t>Lord</t>
  </si>
  <si>
    <t>Quao</t>
  </si>
  <si>
    <t>Mike</t>
  </si>
  <si>
    <t>Mensah</t>
  </si>
  <si>
    <t>Solomon</t>
  </si>
  <si>
    <t>Fish</t>
  </si>
  <si>
    <t>Eric</t>
  </si>
  <si>
    <t>Shane</t>
  </si>
  <si>
    <t>Paul</t>
  </si>
  <si>
    <t>Appiah</t>
  </si>
  <si>
    <t>Joe</t>
  </si>
  <si>
    <t>Lomotey</t>
  </si>
  <si>
    <t>John</t>
  </si>
  <si>
    <t>Sai</t>
  </si>
  <si>
    <t>Lizzy</t>
  </si>
  <si>
    <t>Nai</t>
  </si>
  <si>
    <t>Frank</t>
  </si>
  <si>
    <t>Adjei</t>
  </si>
  <si>
    <t>Mark</t>
  </si>
  <si>
    <t>Loko</t>
  </si>
  <si>
    <t>Peter</t>
  </si>
  <si>
    <t>Bill</t>
  </si>
  <si>
    <t>Torgbor</t>
  </si>
  <si>
    <t>Pearl</t>
  </si>
  <si>
    <t>Billah</t>
  </si>
  <si>
    <t>Jelord</t>
  </si>
  <si>
    <t>Techie</t>
  </si>
  <si>
    <t>Amoah</t>
  </si>
  <si>
    <t>James</t>
  </si>
  <si>
    <t>Asamoah</t>
  </si>
  <si>
    <t>Naomi</t>
  </si>
  <si>
    <t>Owu</t>
  </si>
  <si>
    <t>Grace</t>
  </si>
  <si>
    <t>Owusu</t>
  </si>
  <si>
    <t>Joyce</t>
  </si>
  <si>
    <t>Sackey</t>
  </si>
  <si>
    <t>Abigail</t>
  </si>
  <si>
    <t>Grade Book</t>
  </si>
  <si>
    <t>Safety Test</t>
  </si>
  <si>
    <t>Company Philosophy Test</t>
  </si>
  <si>
    <t>Financial Skills Test</t>
  </si>
  <si>
    <t>Drug Test</t>
  </si>
  <si>
    <t>Possible Points</t>
  </si>
  <si>
    <t>Fire Employee?</t>
  </si>
  <si>
    <t>Max</t>
  </si>
  <si>
    <t>Min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</si>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</sst>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textRotation="90"/>
    </xf>
    <xf numFmtId="0" fontId="0" fillId="0" borderId="0" xfId="0" applyAlignment="1">
      <alignment vertical="center"/>
    </xf>
    <xf numFmtId="0" fontId="0" fillId="0" borderId="0" xfId="0" applyAlignment="1"/>
    <xf numFmtId="9" fontId="0" fillId="0" borderId="0" xfId="1" applyFont="1"/>
    <xf numFmtId="9" fontId="0" fillId="0" borderId="0" xfId="1" applyFont="1" applyAlignment="1"/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Safety</a:t>
            </a:r>
            <a:r>
              <a:rPr lang="en-US" baseline="0"/>
              <a:t> Test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Sheet1!$A$4:$A$23</c:f>
              <c:strCache>
                <c:ptCount val="20"/>
                <c:pt idx="0">
                  <c:v>Sowah</c:v>
                </c:pt>
                <c:pt idx="1">
                  <c:v>Quao</c:v>
                </c:pt>
                <c:pt idx="2">
                  <c:v>Mensah</c:v>
                </c:pt>
                <c:pt idx="3">
                  <c:v>Fish</c:v>
                </c:pt>
                <c:pt idx="4">
                  <c:v>Shane</c:v>
                </c:pt>
                <c:pt idx="5">
                  <c:v>Appiah</c:v>
                </c:pt>
                <c:pt idx="6">
                  <c:v>Lomotey</c:v>
                </c:pt>
                <c:pt idx="7">
                  <c:v>Sai</c:v>
                </c:pt>
                <c:pt idx="8">
                  <c:v>Nai</c:v>
                </c:pt>
                <c:pt idx="9">
                  <c:v>Adjei</c:v>
                </c:pt>
                <c:pt idx="10">
                  <c:v>Loko</c:v>
                </c:pt>
                <c:pt idx="11">
                  <c:v>Bill</c:v>
                </c:pt>
                <c:pt idx="12">
                  <c:v>Torgbor</c:v>
                </c:pt>
                <c:pt idx="13">
                  <c:v>Billah</c:v>
                </c:pt>
                <c:pt idx="14">
                  <c:v>Techie</c:v>
                </c:pt>
                <c:pt idx="15">
                  <c:v>Amoah</c:v>
                </c:pt>
                <c:pt idx="16">
                  <c:v>Asamoah</c:v>
                </c:pt>
                <c:pt idx="17">
                  <c:v>Owu</c:v>
                </c:pt>
                <c:pt idx="18">
                  <c:v>Owusu</c:v>
                </c:pt>
                <c:pt idx="19">
                  <c:v>Sackey</c:v>
                </c:pt>
              </c:strCache>
            </c:strRef>
          </c:cat>
          <c:val>
            <c:numRef>
              <c:f>Sheet1!$C$4:$C$23</c:f>
              <c:numCache>
                <c:formatCode>General</c:formatCode>
                <c:ptCount val="20"/>
                <c:pt idx="0">
                  <c:v>10</c:v>
                </c:pt>
                <c:pt idx="1">
                  <c:v>8</c:v>
                </c:pt>
                <c:pt idx="2">
                  <c:v>9</c:v>
                </c:pt>
                <c:pt idx="3">
                  <c:v>7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7</c:v>
                </c:pt>
                <c:pt idx="8">
                  <c:v>10</c:v>
                </c:pt>
                <c:pt idx="9">
                  <c:v>7</c:v>
                </c:pt>
                <c:pt idx="10">
                  <c:v>9</c:v>
                </c:pt>
                <c:pt idx="11">
                  <c:v>8</c:v>
                </c:pt>
                <c:pt idx="12">
                  <c:v>10</c:v>
                </c:pt>
                <c:pt idx="13">
                  <c:v>9</c:v>
                </c:pt>
                <c:pt idx="14">
                  <c:v>8</c:v>
                </c:pt>
                <c:pt idx="15">
                  <c:v>10</c:v>
                </c:pt>
                <c:pt idx="16">
                  <c:v>7</c:v>
                </c:pt>
                <c:pt idx="17">
                  <c:v>8</c:v>
                </c:pt>
                <c:pt idx="18">
                  <c:v>11</c:v>
                </c:pt>
                <c:pt idx="1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D9-40A3-B840-74B3079C0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6545071"/>
        <c:axId val="666533423"/>
      </c:barChart>
      <c:catAx>
        <c:axId val="666545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533423"/>
        <c:crosses val="autoZero"/>
        <c:auto val="1"/>
        <c:lblAlgn val="ctr"/>
        <c:lblOffset val="100"/>
        <c:noMultiLvlLbl val="0"/>
      </c:catAx>
      <c:valAx>
        <c:axId val="66653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545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Company</a:t>
            </a:r>
            <a:r>
              <a:rPr lang="en-US" baseline="0"/>
              <a:t> Philosophy Test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Sheet1!$A$4:$A$23</c:f>
              <c:strCache>
                <c:ptCount val="20"/>
                <c:pt idx="0">
                  <c:v>Sowah</c:v>
                </c:pt>
                <c:pt idx="1">
                  <c:v>Quao</c:v>
                </c:pt>
                <c:pt idx="2">
                  <c:v>Mensah</c:v>
                </c:pt>
                <c:pt idx="3">
                  <c:v>Fish</c:v>
                </c:pt>
                <c:pt idx="4">
                  <c:v>Shane</c:v>
                </c:pt>
                <c:pt idx="5">
                  <c:v>Appiah</c:v>
                </c:pt>
                <c:pt idx="6">
                  <c:v>Lomotey</c:v>
                </c:pt>
                <c:pt idx="7">
                  <c:v>Sai</c:v>
                </c:pt>
                <c:pt idx="8">
                  <c:v>Nai</c:v>
                </c:pt>
                <c:pt idx="9">
                  <c:v>Adjei</c:v>
                </c:pt>
                <c:pt idx="10">
                  <c:v>Loko</c:v>
                </c:pt>
                <c:pt idx="11">
                  <c:v>Bill</c:v>
                </c:pt>
                <c:pt idx="12">
                  <c:v>Torgbor</c:v>
                </c:pt>
                <c:pt idx="13">
                  <c:v>Billah</c:v>
                </c:pt>
                <c:pt idx="14">
                  <c:v>Techie</c:v>
                </c:pt>
                <c:pt idx="15">
                  <c:v>Amoah</c:v>
                </c:pt>
                <c:pt idx="16">
                  <c:v>Asamoah</c:v>
                </c:pt>
                <c:pt idx="17">
                  <c:v>Owu</c:v>
                </c:pt>
                <c:pt idx="18">
                  <c:v>Owusu</c:v>
                </c:pt>
                <c:pt idx="19">
                  <c:v>Sackey</c:v>
                </c:pt>
              </c:strCache>
            </c:strRef>
          </c:cat>
          <c:val>
            <c:numRef>
              <c:f>Sheet1!$D$4:$D$23</c:f>
              <c:numCache>
                <c:formatCode>General</c:formatCode>
                <c:ptCount val="20"/>
                <c:pt idx="0">
                  <c:v>19</c:v>
                </c:pt>
                <c:pt idx="1">
                  <c:v>20</c:v>
                </c:pt>
                <c:pt idx="2">
                  <c:v>18</c:v>
                </c:pt>
                <c:pt idx="3">
                  <c:v>19</c:v>
                </c:pt>
                <c:pt idx="4">
                  <c:v>18</c:v>
                </c:pt>
                <c:pt idx="5">
                  <c:v>17</c:v>
                </c:pt>
                <c:pt idx="6">
                  <c:v>16</c:v>
                </c:pt>
                <c:pt idx="7">
                  <c:v>20</c:v>
                </c:pt>
                <c:pt idx="8">
                  <c:v>19</c:v>
                </c:pt>
                <c:pt idx="9">
                  <c:v>19</c:v>
                </c:pt>
                <c:pt idx="10">
                  <c:v>18</c:v>
                </c:pt>
                <c:pt idx="11">
                  <c:v>17</c:v>
                </c:pt>
                <c:pt idx="12">
                  <c:v>19</c:v>
                </c:pt>
                <c:pt idx="13">
                  <c:v>20</c:v>
                </c:pt>
                <c:pt idx="14">
                  <c:v>19</c:v>
                </c:pt>
                <c:pt idx="15">
                  <c:v>18</c:v>
                </c:pt>
                <c:pt idx="16">
                  <c:v>18</c:v>
                </c:pt>
                <c:pt idx="17">
                  <c:v>17</c:v>
                </c:pt>
                <c:pt idx="18">
                  <c:v>20</c:v>
                </c:pt>
                <c:pt idx="19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CA-471B-ADE4-FBCB8FB1F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6533839"/>
        <c:axId val="666530511"/>
      </c:barChart>
      <c:catAx>
        <c:axId val="666533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530511"/>
        <c:crosses val="autoZero"/>
        <c:auto val="1"/>
        <c:lblAlgn val="ctr"/>
        <c:lblOffset val="100"/>
        <c:noMultiLvlLbl val="0"/>
      </c:catAx>
      <c:valAx>
        <c:axId val="66653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533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Financial</a:t>
            </a:r>
            <a:r>
              <a:rPr lang="en-US" baseline="0"/>
              <a:t> Skills Test</a:t>
            </a:r>
          </a:p>
        </c:rich>
      </c:tx>
      <c:layout>
        <c:manualLayout>
          <c:xMode val="edge"/>
          <c:yMode val="edge"/>
          <c:x val="0.36261111111111105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Sheet1!$A$4:$A$23</c:f>
              <c:strCache>
                <c:ptCount val="20"/>
                <c:pt idx="0">
                  <c:v>Sowah</c:v>
                </c:pt>
                <c:pt idx="1">
                  <c:v>Quao</c:v>
                </c:pt>
                <c:pt idx="2">
                  <c:v>Mensah</c:v>
                </c:pt>
                <c:pt idx="3">
                  <c:v>Fish</c:v>
                </c:pt>
                <c:pt idx="4">
                  <c:v>Shane</c:v>
                </c:pt>
                <c:pt idx="5">
                  <c:v>Appiah</c:v>
                </c:pt>
                <c:pt idx="6">
                  <c:v>Lomotey</c:v>
                </c:pt>
                <c:pt idx="7">
                  <c:v>Sai</c:v>
                </c:pt>
                <c:pt idx="8">
                  <c:v>Nai</c:v>
                </c:pt>
                <c:pt idx="9">
                  <c:v>Adjei</c:v>
                </c:pt>
                <c:pt idx="10">
                  <c:v>Loko</c:v>
                </c:pt>
                <c:pt idx="11">
                  <c:v>Bill</c:v>
                </c:pt>
                <c:pt idx="12">
                  <c:v>Torgbor</c:v>
                </c:pt>
                <c:pt idx="13">
                  <c:v>Billah</c:v>
                </c:pt>
                <c:pt idx="14">
                  <c:v>Techie</c:v>
                </c:pt>
                <c:pt idx="15">
                  <c:v>Amoah</c:v>
                </c:pt>
                <c:pt idx="16">
                  <c:v>Asamoah</c:v>
                </c:pt>
                <c:pt idx="17">
                  <c:v>Owu</c:v>
                </c:pt>
                <c:pt idx="18">
                  <c:v>Owusu</c:v>
                </c:pt>
                <c:pt idx="19">
                  <c:v>Sackey</c:v>
                </c:pt>
              </c:strCache>
            </c:strRef>
          </c:cat>
          <c:val>
            <c:numRef>
              <c:f>Sheet1!$E$4:$E$23</c:f>
              <c:numCache>
                <c:formatCode>General</c:formatCode>
                <c:ptCount val="20"/>
                <c:pt idx="0">
                  <c:v>97</c:v>
                </c:pt>
                <c:pt idx="1">
                  <c:v>96</c:v>
                </c:pt>
                <c:pt idx="2">
                  <c:v>95</c:v>
                </c:pt>
                <c:pt idx="3">
                  <c:v>94</c:v>
                </c:pt>
                <c:pt idx="4">
                  <c:v>98</c:v>
                </c:pt>
                <c:pt idx="5">
                  <c:v>95</c:v>
                </c:pt>
                <c:pt idx="6">
                  <c:v>95</c:v>
                </c:pt>
                <c:pt idx="7">
                  <c:v>94</c:v>
                </c:pt>
                <c:pt idx="8">
                  <c:v>92</c:v>
                </c:pt>
                <c:pt idx="9">
                  <c:v>99</c:v>
                </c:pt>
                <c:pt idx="10">
                  <c:v>98</c:v>
                </c:pt>
                <c:pt idx="11">
                  <c:v>95</c:v>
                </c:pt>
                <c:pt idx="12">
                  <c:v>96</c:v>
                </c:pt>
                <c:pt idx="13">
                  <c:v>94</c:v>
                </c:pt>
                <c:pt idx="14">
                  <c:v>95</c:v>
                </c:pt>
                <c:pt idx="15">
                  <c:v>93</c:v>
                </c:pt>
                <c:pt idx="16">
                  <c:v>94</c:v>
                </c:pt>
                <c:pt idx="17">
                  <c:v>95</c:v>
                </c:pt>
                <c:pt idx="18">
                  <c:v>97</c:v>
                </c:pt>
                <c:pt idx="19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F8-480E-BE21-57F545C84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6531343"/>
        <c:axId val="666534671"/>
      </c:barChart>
      <c:catAx>
        <c:axId val="666531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534671"/>
        <c:crosses val="autoZero"/>
        <c:auto val="1"/>
        <c:lblAlgn val="ctr"/>
        <c:lblOffset val="100"/>
        <c:noMultiLvlLbl val="0"/>
      </c:catAx>
      <c:valAx>
        <c:axId val="66653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531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276045</xdr:colOff>
      <xdr:row>0</xdr:row>
      <xdr:rowOff>64697</xdr:rowOff>
    </xdr:from>
    <xdr:to>
      <xdr:col>20</xdr:col>
      <xdr:colOff>500332</xdr:colOff>
      <xdr:row>8</xdr:row>
      <xdr:rowOff>21565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379561</xdr:colOff>
      <xdr:row>9</xdr:row>
      <xdr:rowOff>107830</xdr:rowOff>
    </xdr:from>
    <xdr:to>
      <xdr:col>20</xdr:col>
      <xdr:colOff>603848</xdr:colOff>
      <xdr:row>24</xdr:row>
      <xdr:rowOff>133709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508958</xdr:colOff>
      <xdr:row>26</xdr:row>
      <xdr:rowOff>56071</xdr:rowOff>
    </xdr:from>
    <xdr:to>
      <xdr:col>21</xdr:col>
      <xdr:colOff>112143</xdr:colOff>
      <xdr:row>41</xdr:row>
      <xdr:rowOff>81950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tabSelected="1" workbookViewId="0">
      <selection activeCell="J1" sqref="J1"/>
    </sheetView>
  </sheetViews>
  <sheetFormatPr defaultRowHeight="14.3" x14ac:dyDescent="0.25"/>
  <cols>
    <col min="2" max="2" width="13.25" bestFit="1" customWidth="1"/>
    <col min="3" max="3" width="9.875" style="3" bestFit="1" customWidth="1"/>
    <col min="4" max="5" width="9" style="3"/>
    <col min="6" max="6" width="9" style="3" customWidth="1"/>
  </cols>
  <sheetData>
    <row r="1" spans="1:13" ht="119.55" x14ac:dyDescent="0.25">
      <c r="A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H1" s="1" t="s">
        <v>41</v>
      </c>
      <c r="I1" s="1" t="s">
        <v>42</v>
      </c>
      <c r="J1" s="1" t="s">
        <v>43</v>
      </c>
      <c r="K1" s="1" t="s">
        <v>44</v>
      </c>
      <c r="M1" s="1" t="s">
        <v>46</v>
      </c>
    </row>
    <row r="2" spans="1:13" x14ac:dyDescent="0.25">
      <c r="B2" t="s">
        <v>45</v>
      </c>
      <c r="C2" s="2">
        <v>10</v>
      </c>
      <c r="D2" s="2">
        <v>20</v>
      </c>
      <c r="E2" s="2">
        <v>100</v>
      </c>
      <c r="F2" s="2">
        <v>1</v>
      </c>
    </row>
    <row r="3" spans="1:13" x14ac:dyDescent="0.25">
      <c r="A3" t="s">
        <v>0</v>
      </c>
      <c r="B3" t="s">
        <v>1</v>
      </c>
    </row>
    <row r="4" spans="1:13" x14ac:dyDescent="0.25">
      <c r="A4" t="s">
        <v>2</v>
      </c>
      <c r="B4" t="s">
        <v>3</v>
      </c>
      <c r="C4" s="3">
        <v>10</v>
      </c>
      <c r="D4" s="3">
        <v>19</v>
      </c>
      <c r="E4" s="3">
        <v>97</v>
      </c>
      <c r="F4" s="3">
        <v>1</v>
      </c>
      <c r="H4" s="4">
        <f>C4/C$2</f>
        <v>1</v>
      </c>
      <c r="I4" s="4">
        <f t="shared" ref="I4:K19" si="0">D4/D$2</f>
        <v>0.95</v>
      </c>
      <c r="J4" s="4">
        <f t="shared" si="0"/>
        <v>0.97</v>
      </c>
      <c r="K4" s="4">
        <f t="shared" si="0"/>
        <v>1</v>
      </c>
      <c r="M4" s="4" t="b">
        <f>OR(H4&lt;0.5,I4&lt;0.5,J4&lt;0.5,K4&lt;0.5)</f>
        <v>0</v>
      </c>
    </row>
    <row r="5" spans="1:13" x14ac:dyDescent="0.25">
      <c r="A5" t="s">
        <v>4</v>
      </c>
      <c r="B5" t="s">
        <v>5</v>
      </c>
      <c r="C5" s="3">
        <v>8</v>
      </c>
      <c r="D5" s="3">
        <v>20</v>
      </c>
      <c r="E5" s="3">
        <v>96</v>
      </c>
      <c r="F5" s="3">
        <v>1</v>
      </c>
      <c r="H5" s="4">
        <f t="shared" ref="H5:H23" si="1">C5/C$2</f>
        <v>0.8</v>
      </c>
      <c r="I5" s="4">
        <f t="shared" si="0"/>
        <v>1</v>
      </c>
      <c r="J5" s="4">
        <f t="shared" si="0"/>
        <v>0.96</v>
      </c>
      <c r="K5" s="4">
        <f t="shared" si="0"/>
        <v>1</v>
      </c>
      <c r="M5" s="4" t="b">
        <f t="shared" ref="M5:M23" si="2">OR(H5&lt;0.5,I5&lt;0.5,J5&lt;0.5,K5&lt;0.5)</f>
        <v>0</v>
      </c>
    </row>
    <row r="6" spans="1:13" x14ac:dyDescent="0.25">
      <c r="A6" t="s">
        <v>6</v>
      </c>
      <c r="B6" t="s">
        <v>7</v>
      </c>
      <c r="C6" s="3">
        <v>9</v>
      </c>
      <c r="D6" s="3">
        <v>18</v>
      </c>
      <c r="E6" s="3">
        <v>95</v>
      </c>
      <c r="F6" s="3">
        <v>1</v>
      </c>
      <c r="H6" s="4">
        <f t="shared" si="1"/>
        <v>0.9</v>
      </c>
      <c r="I6" s="4">
        <f t="shared" si="0"/>
        <v>0.9</v>
      </c>
      <c r="J6" s="4">
        <f t="shared" si="0"/>
        <v>0.95</v>
      </c>
      <c r="K6" s="4">
        <f t="shared" si="0"/>
        <v>1</v>
      </c>
      <c r="M6" s="4" t="b">
        <f t="shared" si="2"/>
        <v>0</v>
      </c>
    </row>
    <row r="7" spans="1:13" x14ac:dyDescent="0.25">
      <c r="A7" t="s">
        <v>8</v>
      </c>
      <c r="B7" t="s">
        <v>9</v>
      </c>
      <c r="C7" s="3">
        <v>7</v>
      </c>
      <c r="D7" s="3">
        <v>19</v>
      </c>
      <c r="E7" s="3">
        <v>94</v>
      </c>
      <c r="F7" s="3">
        <v>0</v>
      </c>
      <c r="H7" s="4">
        <f t="shared" si="1"/>
        <v>0.7</v>
      </c>
      <c r="I7" s="4">
        <f t="shared" si="0"/>
        <v>0.95</v>
      </c>
      <c r="J7" s="4">
        <f t="shared" si="0"/>
        <v>0.94</v>
      </c>
      <c r="K7" s="4">
        <f t="shared" si="0"/>
        <v>0</v>
      </c>
      <c r="M7" s="4" t="b">
        <f t="shared" si="2"/>
        <v>1</v>
      </c>
    </row>
    <row r="8" spans="1:13" x14ac:dyDescent="0.25">
      <c r="A8" t="s">
        <v>10</v>
      </c>
      <c r="B8" t="s">
        <v>11</v>
      </c>
      <c r="C8" s="3">
        <v>8</v>
      </c>
      <c r="D8" s="3">
        <v>18</v>
      </c>
      <c r="E8" s="3">
        <v>98</v>
      </c>
      <c r="F8" s="3">
        <v>1</v>
      </c>
      <c r="H8" s="4">
        <f t="shared" si="1"/>
        <v>0.8</v>
      </c>
      <c r="I8" s="4">
        <f t="shared" si="0"/>
        <v>0.9</v>
      </c>
      <c r="J8" s="4">
        <f t="shared" si="0"/>
        <v>0.98</v>
      </c>
      <c r="K8" s="4">
        <f t="shared" si="0"/>
        <v>1</v>
      </c>
      <c r="M8" s="4" t="b">
        <f t="shared" si="2"/>
        <v>0</v>
      </c>
    </row>
    <row r="9" spans="1:13" x14ac:dyDescent="0.25">
      <c r="A9" t="s">
        <v>12</v>
      </c>
      <c r="B9" t="s">
        <v>13</v>
      </c>
      <c r="C9" s="3">
        <v>7</v>
      </c>
      <c r="D9" s="3">
        <v>17</v>
      </c>
      <c r="E9" s="3">
        <v>95</v>
      </c>
      <c r="F9" s="3">
        <v>0</v>
      </c>
      <c r="H9" s="4">
        <f t="shared" si="1"/>
        <v>0.7</v>
      </c>
      <c r="I9" s="4">
        <f t="shared" si="0"/>
        <v>0.85</v>
      </c>
      <c r="J9" s="4">
        <f t="shared" si="0"/>
        <v>0.95</v>
      </c>
      <c r="K9" s="4">
        <f t="shared" si="0"/>
        <v>0</v>
      </c>
      <c r="M9" s="4" t="b">
        <f t="shared" si="2"/>
        <v>1</v>
      </c>
    </row>
    <row r="10" spans="1:13" x14ac:dyDescent="0.25">
      <c r="A10" t="s">
        <v>14</v>
      </c>
      <c r="B10" t="s">
        <v>15</v>
      </c>
      <c r="C10" s="3">
        <v>9</v>
      </c>
      <c r="D10" s="3">
        <v>16</v>
      </c>
      <c r="E10" s="3">
        <v>95</v>
      </c>
      <c r="F10" s="3">
        <v>0</v>
      </c>
      <c r="H10" s="4">
        <f t="shared" si="1"/>
        <v>0.9</v>
      </c>
      <c r="I10" s="4">
        <f t="shared" si="0"/>
        <v>0.8</v>
      </c>
      <c r="J10" s="4">
        <f t="shared" si="0"/>
        <v>0.95</v>
      </c>
      <c r="K10" s="4">
        <f t="shared" si="0"/>
        <v>0</v>
      </c>
      <c r="M10" s="4" t="b">
        <f t="shared" si="2"/>
        <v>1</v>
      </c>
    </row>
    <row r="11" spans="1:13" x14ac:dyDescent="0.25">
      <c r="A11" t="s">
        <v>16</v>
      </c>
      <c r="B11" t="s">
        <v>17</v>
      </c>
      <c r="C11" s="3">
        <v>7</v>
      </c>
      <c r="D11" s="3">
        <v>20</v>
      </c>
      <c r="E11" s="3">
        <v>94</v>
      </c>
      <c r="F11" s="3">
        <v>0</v>
      </c>
      <c r="H11" s="4">
        <f t="shared" si="1"/>
        <v>0.7</v>
      </c>
      <c r="I11" s="4">
        <f t="shared" si="0"/>
        <v>1</v>
      </c>
      <c r="J11" s="4">
        <f t="shared" si="0"/>
        <v>0.94</v>
      </c>
      <c r="K11" s="4">
        <f t="shared" si="0"/>
        <v>0</v>
      </c>
      <c r="M11" s="4" t="b">
        <f t="shared" si="2"/>
        <v>1</v>
      </c>
    </row>
    <row r="12" spans="1:13" x14ac:dyDescent="0.25">
      <c r="A12" t="s">
        <v>18</v>
      </c>
      <c r="B12" t="s">
        <v>19</v>
      </c>
      <c r="C12" s="3">
        <v>10</v>
      </c>
      <c r="D12" s="3">
        <v>19</v>
      </c>
      <c r="E12" s="3">
        <v>92</v>
      </c>
      <c r="F12" s="3">
        <v>1</v>
      </c>
      <c r="H12" s="4">
        <f t="shared" si="1"/>
        <v>1</v>
      </c>
      <c r="I12" s="4">
        <f t="shared" si="0"/>
        <v>0.95</v>
      </c>
      <c r="J12" s="4">
        <f t="shared" si="0"/>
        <v>0.92</v>
      </c>
      <c r="K12" s="4">
        <f t="shared" si="0"/>
        <v>1</v>
      </c>
      <c r="M12" s="4" t="b">
        <f t="shared" si="2"/>
        <v>0</v>
      </c>
    </row>
    <row r="13" spans="1:13" x14ac:dyDescent="0.25">
      <c r="A13" t="s">
        <v>20</v>
      </c>
      <c r="B13" t="s">
        <v>21</v>
      </c>
      <c r="C13" s="3">
        <v>7</v>
      </c>
      <c r="D13" s="3">
        <v>19</v>
      </c>
      <c r="E13" s="3">
        <v>99</v>
      </c>
      <c r="F13" s="3">
        <v>1</v>
      </c>
      <c r="H13" s="4">
        <f t="shared" si="1"/>
        <v>0.7</v>
      </c>
      <c r="I13" s="4">
        <f t="shared" si="0"/>
        <v>0.95</v>
      </c>
      <c r="J13" s="4">
        <f t="shared" si="0"/>
        <v>0.99</v>
      </c>
      <c r="K13" s="4">
        <f t="shared" si="0"/>
        <v>1</v>
      </c>
      <c r="M13" s="4" t="b">
        <f t="shared" si="2"/>
        <v>0</v>
      </c>
    </row>
    <row r="14" spans="1:13" x14ac:dyDescent="0.25">
      <c r="A14" t="s">
        <v>22</v>
      </c>
      <c r="B14" t="s">
        <v>23</v>
      </c>
      <c r="C14" s="3">
        <v>9</v>
      </c>
      <c r="D14" s="3">
        <v>18</v>
      </c>
      <c r="E14" s="3">
        <v>98</v>
      </c>
      <c r="F14" s="3">
        <v>1</v>
      </c>
      <c r="H14" s="4">
        <f t="shared" si="1"/>
        <v>0.9</v>
      </c>
      <c r="I14" s="4">
        <f t="shared" si="0"/>
        <v>0.9</v>
      </c>
      <c r="J14" s="4">
        <f t="shared" si="0"/>
        <v>0.98</v>
      </c>
      <c r="K14" s="4">
        <f t="shared" si="0"/>
        <v>1</v>
      </c>
      <c r="M14" s="4" t="b">
        <f t="shared" si="2"/>
        <v>0</v>
      </c>
    </row>
    <row r="15" spans="1:13" x14ac:dyDescent="0.25">
      <c r="A15" t="s">
        <v>24</v>
      </c>
      <c r="B15" t="s">
        <v>13</v>
      </c>
      <c r="C15" s="3">
        <v>8</v>
      </c>
      <c r="D15" s="3">
        <v>17</v>
      </c>
      <c r="E15" s="3">
        <v>95</v>
      </c>
      <c r="F15" s="3">
        <v>1</v>
      </c>
      <c r="H15" s="4">
        <f t="shared" si="1"/>
        <v>0.8</v>
      </c>
      <c r="I15" s="4">
        <f t="shared" si="0"/>
        <v>0.85</v>
      </c>
      <c r="J15" s="4">
        <f t="shared" si="0"/>
        <v>0.95</v>
      </c>
      <c r="K15" s="4">
        <f t="shared" si="0"/>
        <v>1</v>
      </c>
      <c r="M15" s="4" t="b">
        <f t="shared" si="2"/>
        <v>0</v>
      </c>
    </row>
    <row r="16" spans="1:13" x14ac:dyDescent="0.25">
      <c r="A16" t="s">
        <v>25</v>
      </c>
      <c r="B16" t="s">
        <v>26</v>
      </c>
      <c r="C16" s="3">
        <v>10</v>
      </c>
      <c r="D16" s="3">
        <v>19</v>
      </c>
      <c r="E16" s="3">
        <v>96</v>
      </c>
      <c r="F16" s="3">
        <v>0</v>
      </c>
      <c r="H16" s="4">
        <f t="shared" si="1"/>
        <v>1</v>
      </c>
      <c r="I16" s="4">
        <f t="shared" si="0"/>
        <v>0.95</v>
      </c>
      <c r="J16" s="4">
        <f t="shared" si="0"/>
        <v>0.96</v>
      </c>
      <c r="K16" s="4">
        <f t="shared" si="0"/>
        <v>0</v>
      </c>
      <c r="M16" s="4" t="b">
        <f t="shared" si="2"/>
        <v>1</v>
      </c>
    </row>
    <row r="17" spans="1:13" x14ac:dyDescent="0.25">
      <c r="A17" t="s">
        <v>27</v>
      </c>
      <c r="B17" t="s">
        <v>28</v>
      </c>
      <c r="C17" s="3">
        <v>9</v>
      </c>
      <c r="D17" s="3">
        <v>20</v>
      </c>
      <c r="E17" s="3">
        <v>94</v>
      </c>
      <c r="F17" s="3">
        <v>0</v>
      </c>
      <c r="H17" s="4">
        <f t="shared" si="1"/>
        <v>0.9</v>
      </c>
      <c r="I17" s="4">
        <f t="shared" si="0"/>
        <v>1</v>
      </c>
      <c r="J17" s="4">
        <f t="shared" si="0"/>
        <v>0.94</v>
      </c>
      <c r="K17" s="4">
        <f t="shared" si="0"/>
        <v>0</v>
      </c>
      <c r="M17" s="4" t="b">
        <f t="shared" si="2"/>
        <v>1</v>
      </c>
    </row>
    <row r="18" spans="1:13" x14ac:dyDescent="0.25">
      <c r="A18" t="s">
        <v>29</v>
      </c>
      <c r="B18" t="s">
        <v>5</v>
      </c>
      <c r="C18" s="3">
        <v>8</v>
      </c>
      <c r="D18" s="3">
        <v>19</v>
      </c>
      <c r="E18" s="3">
        <v>95</v>
      </c>
      <c r="F18" s="3">
        <v>1</v>
      </c>
      <c r="H18" s="4">
        <f t="shared" si="1"/>
        <v>0.8</v>
      </c>
      <c r="I18" s="4">
        <f t="shared" si="0"/>
        <v>0.95</v>
      </c>
      <c r="J18" s="4">
        <f t="shared" si="0"/>
        <v>0.95</v>
      </c>
      <c r="K18" s="4">
        <f t="shared" si="0"/>
        <v>1</v>
      </c>
      <c r="M18" s="4" t="b">
        <f t="shared" si="2"/>
        <v>0</v>
      </c>
    </row>
    <row r="19" spans="1:13" x14ac:dyDescent="0.25">
      <c r="A19" t="s">
        <v>30</v>
      </c>
      <c r="B19" t="s">
        <v>31</v>
      </c>
      <c r="C19" s="3">
        <v>10</v>
      </c>
      <c r="D19" s="3">
        <v>18</v>
      </c>
      <c r="E19" s="3">
        <v>93</v>
      </c>
      <c r="F19" s="3">
        <v>1</v>
      </c>
      <c r="H19" s="4">
        <f t="shared" si="1"/>
        <v>1</v>
      </c>
      <c r="I19" s="4">
        <f t="shared" si="0"/>
        <v>0.9</v>
      </c>
      <c r="J19" s="4">
        <f t="shared" si="0"/>
        <v>0.93</v>
      </c>
      <c r="K19" s="4">
        <f t="shared" si="0"/>
        <v>1</v>
      </c>
      <c r="M19" s="4" t="b">
        <f t="shared" si="2"/>
        <v>0</v>
      </c>
    </row>
    <row r="20" spans="1:13" x14ac:dyDescent="0.25">
      <c r="A20" t="s">
        <v>32</v>
      </c>
      <c r="B20" t="s">
        <v>33</v>
      </c>
      <c r="C20" s="3">
        <v>7</v>
      </c>
      <c r="D20" s="3">
        <v>18</v>
      </c>
      <c r="E20" s="3">
        <v>94</v>
      </c>
      <c r="F20" s="3">
        <v>0</v>
      </c>
      <c r="H20" s="4">
        <f t="shared" si="1"/>
        <v>0.7</v>
      </c>
      <c r="I20" s="4">
        <f t="shared" ref="I20:I23" si="3">D20/D$2</f>
        <v>0.9</v>
      </c>
      <c r="J20" s="4">
        <f t="shared" ref="J20:J23" si="4">E20/E$2</f>
        <v>0.94</v>
      </c>
      <c r="K20" s="4">
        <f t="shared" ref="K20:K23" si="5">F20/F$2</f>
        <v>0</v>
      </c>
      <c r="M20" s="4" t="b">
        <f t="shared" si="2"/>
        <v>1</v>
      </c>
    </row>
    <row r="21" spans="1:13" x14ac:dyDescent="0.25">
      <c r="A21" t="s">
        <v>34</v>
      </c>
      <c r="B21" t="s">
        <v>35</v>
      </c>
      <c r="C21" s="3">
        <v>8</v>
      </c>
      <c r="D21" s="3">
        <v>17</v>
      </c>
      <c r="E21" s="3">
        <v>95</v>
      </c>
      <c r="F21" s="3">
        <v>1</v>
      </c>
      <c r="H21" s="4">
        <f t="shared" si="1"/>
        <v>0.8</v>
      </c>
      <c r="I21" s="4">
        <f t="shared" si="3"/>
        <v>0.85</v>
      </c>
      <c r="J21" s="4">
        <f t="shared" si="4"/>
        <v>0.95</v>
      </c>
      <c r="K21" s="4">
        <f t="shared" si="5"/>
        <v>1</v>
      </c>
      <c r="M21" s="4" t="b">
        <f t="shared" si="2"/>
        <v>0</v>
      </c>
    </row>
    <row r="22" spans="1:13" x14ac:dyDescent="0.25">
      <c r="A22" t="s">
        <v>36</v>
      </c>
      <c r="B22" t="s">
        <v>37</v>
      </c>
      <c r="C22" s="3">
        <v>11</v>
      </c>
      <c r="D22" s="3">
        <v>20</v>
      </c>
      <c r="E22" s="3">
        <v>97</v>
      </c>
      <c r="F22" s="3">
        <v>1</v>
      </c>
      <c r="H22" s="4">
        <f t="shared" si="1"/>
        <v>1.1000000000000001</v>
      </c>
      <c r="I22" s="4">
        <f t="shared" si="3"/>
        <v>1</v>
      </c>
      <c r="J22" s="4">
        <f t="shared" si="4"/>
        <v>0.97</v>
      </c>
      <c r="K22" s="4">
        <f t="shared" si="5"/>
        <v>1</v>
      </c>
      <c r="M22" s="4" t="b">
        <f t="shared" si="2"/>
        <v>0</v>
      </c>
    </row>
    <row r="23" spans="1:13" x14ac:dyDescent="0.25">
      <c r="A23" t="s">
        <v>38</v>
      </c>
      <c r="B23" t="s">
        <v>39</v>
      </c>
      <c r="C23" s="3">
        <v>9</v>
      </c>
      <c r="D23" s="3">
        <v>19</v>
      </c>
      <c r="E23" s="3">
        <v>98</v>
      </c>
      <c r="F23" s="3">
        <v>0</v>
      </c>
      <c r="H23" s="4">
        <f t="shared" si="1"/>
        <v>0.9</v>
      </c>
      <c r="I23" s="4">
        <f t="shared" si="3"/>
        <v>0.95</v>
      </c>
      <c r="J23" s="4">
        <f t="shared" si="4"/>
        <v>0.98</v>
      </c>
      <c r="K23" s="4">
        <f t="shared" si="5"/>
        <v>0</v>
      </c>
      <c r="M23" s="4" t="b">
        <f t="shared" si="2"/>
        <v>1</v>
      </c>
    </row>
    <row r="24" spans="1:13" x14ac:dyDescent="0.25">
      <c r="H24" s="4"/>
    </row>
    <row r="25" spans="1:13" x14ac:dyDescent="0.25">
      <c r="A25" t="s">
        <v>47</v>
      </c>
      <c r="C25" s="3">
        <f>MAX(C4:C23)</f>
        <v>11</v>
      </c>
      <c r="D25" s="3">
        <f t="shared" ref="D25:F25" si="6">MAX(D4:D23)</f>
        <v>20</v>
      </c>
      <c r="E25" s="3">
        <f t="shared" si="6"/>
        <v>99</v>
      </c>
      <c r="F25" s="3">
        <f t="shared" si="6"/>
        <v>1</v>
      </c>
      <c r="H25" s="5">
        <f>MAX(H4:H23)</f>
        <v>1.1000000000000001</v>
      </c>
      <c r="I25" s="5">
        <f t="shared" ref="I25:K25" si="7">MAX(I4:I23)</f>
        <v>1</v>
      </c>
      <c r="J25" s="5">
        <f t="shared" si="7"/>
        <v>0.99</v>
      </c>
      <c r="K25" s="5">
        <f t="shared" si="7"/>
        <v>1</v>
      </c>
    </row>
    <row r="26" spans="1:13" x14ac:dyDescent="0.25">
      <c r="A26" t="s">
        <v>48</v>
      </c>
      <c r="C26" s="3">
        <f>MIN(C4:C23)</f>
        <v>7</v>
      </c>
      <c r="D26" s="3">
        <f t="shared" ref="D26:F26" si="8">MIN(D4:D23)</f>
        <v>16</v>
      </c>
      <c r="E26" s="3">
        <f t="shared" si="8"/>
        <v>92</v>
      </c>
      <c r="F26" s="3">
        <f t="shared" si="8"/>
        <v>0</v>
      </c>
      <c r="H26" s="5">
        <f>MIN(H4:H23)</f>
        <v>0.7</v>
      </c>
      <c r="I26" s="5">
        <f t="shared" ref="I26:K26" si="9">MIN(I4:I23)</f>
        <v>0.8</v>
      </c>
      <c r="J26" s="5">
        <f t="shared" si="9"/>
        <v>0.92</v>
      </c>
      <c r="K26" s="5">
        <f t="shared" si="9"/>
        <v>0</v>
      </c>
    </row>
    <row r="27" spans="1:13" x14ac:dyDescent="0.25">
      <c r="A27" t="s">
        <v>49</v>
      </c>
      <c r="C27" s="3">
        <f>AVERAGE(C4:C23)</f>
        <v>8.5500000000000007</v>
      </c>
      <c r="D27" s="3">
        <f t="shared" ref="D27:F27" si="10">AVERAGE(D4:D23)</f>
        <v>18.5</v>
      </c>
      <c r="E27" s="3">
        <f t="shared" si="10"/>
        <v>95.5</v>
      </c>
      <c r="F27" s="3">
        <f t="shared" si="10"/>
        <v>0.6</v>
      </c>
      <c r="H27" s="5">
        <f>AVERAGE(H4:H23)</f>
        <v>0.85500000000000009</v>
      </c>
      <c r="I27" s="5">
        <f t="shared" ref="I27:K27" si="11">AVERAGE(I4:I23)</f>
        <v>0.92499999999999982</v>
      </c>
      <c r="J27" s="5">
        <f t="shared" si="11"/>
        <v>0.95499999999999985</v>
      </c>
      <c r="K27" s="5">
        <f t="shared" si="11"/>
        <v>0.6</v>
      </c>
    </row>
  </sheetData>
  <conditionalFormatting sqref="C4:C23">
    <cfRule type="iconSet" priority="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D4:D23">
    <cfRule type="iconSet" priority="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E4:E23">
    <cfRule type="iconSet" priority="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F4:F23">
    <cfRule type="iconSet" priority="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H4:K23 M4:M23">
    <cfRule type="cellIs" dxfId="1" priority="2" operator="lessThan">
      <formula>0.5</formula>
    </cfRule>
  </conditionalFormatting>
  <conditionalFormatting sqref="M4:M23">
    <cfRule type="cellIs" dxfId="0" priority="1" operator="equal">
      <formula>TRUE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Lord Oko Sowah</dc:creator>
  <cp:lastModifiedBy>Lord Oko Sowah</cp:lastModifiedBy>
  <dcterms:created xsi:type="dcterms:W3CDTF">2026-06-07T17:10:21Z</dcterms:created>
  <dcterms:modified xsi:type="dcterms:W3CDTF">2026-06-07T17:49:41Z</dcterms:modified>
</cp:coreProperties>
</file>